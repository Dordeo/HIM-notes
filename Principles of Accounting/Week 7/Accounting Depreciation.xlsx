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Obsidian Vaults\HIM Notes\Principles of Accounting\Week 7\"/>
    </mc:Choice>
  </mc:AlternateContent>
  <xr:revisionPtr revIDLastSave="0" documentId="8_{B6F658F0-057F-448F-A160-7F1F9E916612}" xr6:coauthVersionLast="47" xr6:coauthVersionMax="47" xr10:uidLastSave="{00000000-0000-0000-0000-000000000000}"/>
  <bookViews>
    <workbookView xWindow="-108" yWindow="-108" windowWidth="23256" windowHeight="12456" activeTab="2" xr2:uid="{9C7FB44C-F1B5-4B10-8B22-19AC031904C0}"/>
  </bookViews>
  <sheets>
    <sheet name="Double Declining" sheetId="1" r:id="rId1"/>
    <sheet name="Straight Line" sheetId="2" r:id="rId2"/>
    <sheet name="Units Depreci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 s="1"/>
  <c r="C5" i="1" s="1"/>
  <c r="C6" i="1" s="1"/>
  <c r="D6" i="3"/>
  <c r="E6" i="3" s="1"/>
  <c r="D5" i="3"/>
  <c r="E5" i="3" s="1"/>
  <c r="D4" i="3"/>
  <c r="E4" i="3" s="1"/>
  <c r="D3" i="3"/>
  <c r="E3" i="3" s="1"/>
  <c r="D2" i="3"/>
  <c r="E2" i="3" s="1"/>
  <c r="F2" i="3" s="1"/>
  <c r="F3" i="3" s="1"/>
  <c r="F4" i="3" s="1"/>
  <c r="F5" i="3" s="1"/>
  <c r="F6" i="3" s="1"/>
  <c r="B2" i="3"/>
  <c r="C2" i="2"/>
  <c r="C3" i="2" s="1"/>
  <c r="C4" i="2" s="1"/>
  <c r="B2" i="2"/>
  <c r="D2" i="2" s="1"/>
  <c r="E2" i="2" s="1"/>
  <c r="B2" i="1"/>
  <c r="D4" i="2" l="1"/>
  <c r="C5" i="2"/>
  <c r="C6" i="2" s="1"/>
  <c r="G2" i="3"/>
  <c r="B3" i="3" s="1"/>
  <c r="G3" i="3" s="1"/>
  <c r="B4" i="3" s="1"/>
  <c r="G4" i="3" s="1"/>
  <c r="B5" i="3" s="1"/>
  <c r="G5" i="3" s="1"/>
  <c r="B6" i="3" s="1"/>
  <c r="G6" i="3" s="1"/>
  <c r="D2" i="1"/>
  <c r="E2" i="1" s="1"/>
  <c r="D5" i="2"/>
  <c r="F2" i="2"/>
  <c r="B3" i="2" s="1"/>
  <c r="D3" i="2"/>
  <c r="E3" i="2" s="1"/>
  <c r="E4" i="2" s="1"/>
  <c r="E5" i="2" s="1"/>
  <c r="F3" i="2" l="1"/>
  <c r="B4" i="2" s="1"/>
  <c r="F4" i="2" s="1"/>
  <c r="B5" i="2" s="1"/>
  <c r="F5" i="2" s="1"/>
  <c r="B6" i="2" s="1"/>
  <c r="F2" i="1"/>
  <c r="B3" i="1" s="1"/>
  <c r="D3" i="1" l="1"/>
  <c r="E3" i="1" s="1"/>
  <c r="D6" i="2"/>
  <c r="E6" i="2" s="1"/>
  <c r="F6" i="2" l="1"/>
  <c r="F3" i="1"/>
  <c r="B4" i="1" s="1"/>
  <c r="D4" i="1" l="1"/>
  <c r="E4" i="1" s="1"/>
  <c r="F4" i="1" l="1"/>
  <c r="B5" i="1" s="1"/>
  <c r="D5" i="1" l="1"/>
  <c r="E5" i="1" s="1"/>
  <c r="F5" i="1" l="1"/>
  <c r="B6" i="1" s="1"/>
  <c r="D6" i="1" l="1"/>
  <c r="E6" i="1" s="1"/>
  <c r="F6" i="1" l="1"/>
</calcChain>
</file>

<file path=xl/sharedStrings.xml><?xml version="1.0" encoding="utf-8"?>
<sst xmlns="http://schemas.openxmlformats.org/spreadsheetml/2006/main" count="26" uniqueCount="16">
  <si>
    <t>Year</t>
  </si>
  <si>
    <t>Value</t>
  </si>
  <si>
    <t>Rate</t>
  </si>
  <si>
    <t>depreciation</t>
  </si>
  <si>
    <t>Accumulated depreciation</t>
  </si>
  <si>
    <t>End of the year value</t>
  </si>
  <si>
    <t>Salvage Value</t>
  </si>
  <si>
    <t>Initial Value</t>
  </si>
  <si>
    <t>Year Value</t>
  </si>
  <si>
    <t>Units Produced</t>
  </si>
  <si>
    <t>Depreciation Per unit</t>
  </si>
  <si>
    <t>Depreciation expense</t>
  </si>
  <si>
    <t>Accumulated Depreciation</t>
  </si>
  <si>
    <t>End of the year</t>
  </si>
  <si>
    <t>Salvage</t>
  </si>
  <si>
    <t>Life Value in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</si>
</sst>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1" xfId="0" applyNumberFormat="1" applyBorder="1" applyAlignment="1">
      <alignment horizontal="center" vertical="center"/>
    </xf>
    <xf numFmtId="4" fontId="0" fillId="0" borderId="2" xfId="0" applyNumberFormat="1" applyBorder="1"/>
    <xf numFmtId="4" fontId="0" fillId="0" borderId="3" xfId="0" applyNumberFormat="1" applyBorder="1"/>
    <xf numFmtId="4" fontId="0" fillId="0" borderId="4" xfId="0" applyNumberFormat="1" applyBorder="1"/>
    <xf numFmtId="4" fontId="0" fillId="0" borderId="0" xfId="0" applyNumberFormat="1" applyFill="1"/>
    <xf numFmtId="4" fontId="0" fillId="0" borderId="0" xfId="0" applyNumberFormat="1"/>
    <xf numFmtId="3" fontId="0" fillId="0" borderId="5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7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6C05-72C3-4EB4-883A-729240D8DD8E}">
  <dimension ref="A1:I6"/>
  <sheetViews>
    <sheetView workbookViewId="0">
      <selection activeCell="C3" sqref="C3"/>
    </sheetView>
  </sheetViews>
  <sheetFormatPr defaultRowHeight="14.4" x14ac:dyDescent="0.3"/>
  <cols>
    <col min="1" max="1" width="9" style="10" bestFit="1" customWidth="1"/>
    <col min="2" max="2" width="14.21875" style="6" customWidth="1"/>
    <col min="3" max="3" width="9.5546875" style="6" customWidth="1"/>
    <col min="4" max="4" width="16.109375" style="6" customWidth="1"/>
    <col min="5" max="5" width="22.5546875" style="6" customWidth="1"/>
    <col min="6" max="6" width="17.33203125" style="6" customWidth="1"/>
    <col min="7" max="7" width="8.88671875" customWidth="1"/>
    <col min="8" max="8" width="13.109375" customWidth="1"/>
    <col min="9" max="9" width="10.6640625" style="6" bestFit="1" customWidth="1"/>
    <col min="10" max="10" width="8.88671875" customWidth="1"/>
  </cols>
  <sheetData>
    <row r="1" spans="1:9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5" t="s">
        <v>6</v>
      </c>
      <c r="I1" s="6">
        <v>30000</v>
      </c>
    </row>
    <row r="2" spans="1:9" x14ac:dyDescent="0.3">
      <c r="A2" s="7">
        <v>1</v>
      </c>
      <c r="B2" s="6">
        <f>I2</f>
        <v>400000</v>
      </c>
      <c r="C2" s="6">
        <f>2/COUNT(A2:A6)</f>
        <v>0.4</v>
      </c>
      <c r="D2" s="6">
        <f>IF(B2*C2&lt;$I$1, B2-$I$1, B2*C2)</f>
        <v>160000</v>
      </c>
      <c r="E2" s="6">
        <f>D2</f>
        <v>160000</v>
      </c>
      <c r="F2" s="6">
        <f>B2-D2</f>
        <v>240000</v>
      </c>
      <c r="H2" t="s">
        <v>7</v>
      </c>
      <c r="I2" s="6">
        <v>400000</v>
      </c>
    </row>
    <row r="3" spans="1:9" x14ac:dyDescent="0.3">
      <c r="A3" s="8">
        <v>2</v>
      </c>
      <c r="B3" s="6">
        <f>F2</f>
        <v>240000</v>
      </c>
      <c r="C3" s="6">
        <f>C2</f>
        <v>0.4</v>
      </c>
      <c r="D3" s="6">
        <f>IF(B3*C3&lt;$I$1, B3-$I$1, B3*C3)</f>
        <v>96000</v>
      </c>
      <c r="E3" s="6">
        <f>E2+D3</f>
        <v>256000</v>
      </c>
      <c r="F3" s="6">
        <f>B3-D3</f>
        <v>144000</v>
      </c>
    </row>
    <row r="4" spans="1:9" x14ac:dyDescent="0.3">
      <c r="A4" s="8">
        <v>3</v>
      </c>
      <c r="B4" s="6">
        <f>F3</f>
        <v>144000</v>
      </c>
      <c r="C4" s="6">
        <f>C3</f>
        <v>0.4</v>
      </c>
      <c r="D4" s="6">
        <f>IF(B4*C4&lt;$I$1, B4-$I$1, B4*C4)</f>
        <v>57600</v>
      </c>
      <c r="E4" s="6">
        <f>E3+D4</f>
        <v>313600</v>
      </c>
      <c r="F4" s="6">
        <f>B4-D4</f>
        <v>86400</v>
      </c>
    </row>
    <row r="5" spans="1:9" x14ac:dyDescent="0.3">
      <c r="A5" s="8">
        <v>4</v>
      </c>
      <c r="B5" s="6">
        <f>F4</f>
        <v>86400</v>
      </c>
      <c r="C5" s="6">
        <f>C4</f>
        <v>0.4</v>
      </c>
      <c r="D5" s="6">
        <f>IF(B5*C5&lt;$I$1, B5-$I$1, B5*C5)</f>
        <v>34560</v>
      </c>
      <c r="E5" s="6">
        <f>E4+D5</f>
        <v>348160</v>
      </c>
      <c r="F5" s="6">
        <f>B5-D5</f>
        <v>51840</v>
      </c>
    </row>
    <row r="6" spans="1:9" thickBot="1" x14ac:dyDescent="0.3">
      <c r="A6" s="9">
        <v>5</v>
      </c>
      <c r="B6" s="6">
        <f>F5</f>
        <v>51840</v>
      </c>
      <c r="C6" s="6">
        <f>C5</f>
        <v>0.4</v>
      </c>
      <c r="D6" s="6">
        <f>IF(B6*C6&lt;$I$1, B6-$I$1, B6*C6)</f>
        <v>21840</v>
      </c>
      <c r="E6" s="6">
        <f>E5+D6</f>
        <v>370000</v>
      </c>
      <c r="F6" s="6">
        <f>B6-D6</f>
        <v>30000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989FB-F11D-4EDA-9544-FF356E1D7E1E}">
  <dimension ref="A1:I6"/>
  <sheetViews>
    <sheetView workbookViewId="0">
      <selection activeCell="C2" sqref="C2"/>
    </sheetView>
  </sheetViews>
  <sheetFormatPr defaultRowHeight="14.4" x14ac:dyDescent="0.3"/>
  <cols>
    <col min="1" max="1" width="8.88671875" customWidth="1"/>
    <col min="2" max="2" width="19.33203125" customWidth="1"/>
    <col min="3" max="3" width="9.109375" bestFit="1" customWidth="1"/>
    <col min="4" max="4" width="18.33203125" customWidth="1"/>
    <col min="5" max="5" width="17.6640625" customWidth="1"/>
    <col min="6" max="6" width="19.33203125" customWidth="1"/>
    <col min="7" max="7" width="8.88671875" customWidth="1"/>
    <col min="8" max="8" width="13.33203125" customWidth="1"/>
    <col min="9" max="9" width="12.33203125" customWidth="1"/>
    <col min="10" max="10" width="8.88671875" customWidth="1"/>
  </cols>
  <sheetData>
    <row r="1" spans="1:9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H1" s="5" t="s">
        <v>6</v>
      </c>
      <c r="I1" s="6">
        <v>30000</v>
      </c>
    </row>
    <row r="2" spans="1:9" x14ac:dyDescent="0.3">
      <c r="A2" s="7">
        <v>1</v>
      </c>
      <c r="B2" s="6">
        <f>I2</f>
        <v>400000</v>
      </c>
      <c r="C2" s="6">
        <f>(I2-I1)/COUNT(A2:A6)/I2</f>
        <v>0.185</v>
      </c>
      <c r="D2" s="6">
        <f>IF(B2*C2&lt;$I$1, B2-$I$1, B2*C2)</f>
        <v>74000</v>
      </c>
      <c r="E2" s="6">
        <f>D2</f>
        <v>74000</v>
      </c>
      <c r="F2" s="6">
        <f>B2-D2</f>
        <v>326000</v>
      </c>
      <c r="H2" t="s">
        <v>7</v>
      </c>
      <c r="I2" s="6">
        <v>400000</v>
      </c>
    </row>
    <row r="3" spans="1:9" x14ac:dyDescent="0.3">
      <c r="A3" s="8">
        <v>2</v>
      </c>
      <c r="B3" s="6">
        <f>F2</f>
        <v>326000</v>
      </c>
      <c r="C3" s="6">
        <f>C2</f>
        <v>0.185</v>
      </c>
      <c r="D3" s="6">
        <f>IF($B$2*C3&lt;$I$1, B3-$I$1, B$2*C3)</f>
        <v>74000</v>
      </c>
      <c r="E3" s="6">
        <f>E2+D3</f>
        <v>148000</v>
      </c>
      <c r="F3" s="6">
        <f>B3-D3</f>
        <v>252000</v>
      </c>
      <c r="I3" s="6"/>
    </row>
    <row r="4" spans="1:9" x14ac:dyDescent="0.3">
      <c r="A4" s="8">
        <v>3</v>
      </c>
      <c r="B4" s="6">
        <f>F3</f>
        <v>252000</v>
      </c>
      <c r="C4" s="6">
        <f>C3</f>
        <v>0.185</v>
      </c>
      <c r="D4" s="6">
        <f>IF($B$2*C4&lt;$I$1, B4-$I$1, B$2*C4)</f>
        <v>74000</v>
      </c>
      <c r="E4" s="6">
        <f>E3+D4</f>
        <v>222000</v>
      </c>
      <c r="F4" s="6">
        <f>B4-D4</f>
        <v>178000</v>
      </c>
      <c r="I4" s="6"/>
    </row>
    <row r="5" spans="1:9" x14ac:dyDescent="0.3">
      <c r="A5" s="8">
        <v>4</v>
      </c>
      <c r="B5" s="6">
        <f>F4</f>
        <v>178000</v>
      </c>
      <c r="C5" s="6">
        <f>C4</f>
        <v>0.185</v>
      </c>
      <c r="D5" s="6">
        <f>IF($B$2*C5&lt;$I$1, B5-$I$1, B$2*C5)</f>
        <v>74000</v>
      </c>
      <c r="E5" s="6">
        <f>E4+D5</f>
        <v>296000</v>
      </c>
      <c r="F5" s="6">
        <f>B5-D5</f>
        <v>104000</v>
      </c>
      <c r="I5" s="6"/>
    </row>
    <row r="6" spans="1:9" thickBot="1" x14ac:dyDescent="0.3">
      <c r="A6" s="9">
        <v>5</v>
      </c>
      <c r="B6" s="6">
        <f>F5</f>
        <v>104000</v>
      </c>
      <c r="C6" s="6">
        <f>C5</f>
        <v>0.185</v>
      </c>
      <c r="D6" s="6">
        <f>IF(B6*C6&lt;$I$1, B6-$I$1, B$2*C6)</f>
        <v>74000</v>
      </c>
      <c r="E6" s="6">
        <f>E5+D6</f>
        <v>370000</v>
      </c>
      <c r="F6" s="6">
        <f>B6-D6</f>
        <v>30000</v>
      </c>
      <c r="I6" s="6"/>
    </row>
  </sheetData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D53F7-55AD-4046-A36C-0C16C52AB5EA}">
  <dimension ref="A1:J6"/>
  <sheetViews>
    <sheetView tabSelected="1" workbookViewId="0"/>
  </sheetViews>
  <sheetFormatPr defaultRowHeight="14.4" x14ac:dyDescent="0.3"/>
  <cols>
    <col min="1" max="1" width="8.88671875" customWidth="1"/>
    <col min="2" max="2" width="10.44140625" style="6" customWidth="1"/>
    <col min="3" max="3" width="19.6640625" style="6" customWidth="1"/>
    <col min="4" max="4" width="23.6640625" style="6" customWidth="1"/>
    <col min="5" max="5" width="18.6640625" style="6" customWidth="1"/>
    <col min="6" max="6" width="21.5546875" style="6" customWidth="1"/>
    <col min="7" max="7" width="12.44140625" style="6" customWidth="1"/>
    <col min="8" max="8" width="25.33203125" style="6" customWidth="1"/>
    <col min="9" max="9" width="10.109375" style="6" bestFit="1" customWidth="1"/>
    <col min="10" max="10" width="8.88671875" style="6" customWidth="1"/>
    <col min="11" max="11" width="8.88671875" customWidth="1"/>
  </cols>
  <sheetData>
    <row r="1" spans="1:10" x14ac:dyDescent="0.3">
      <c r="A1" t="s">
        <v>0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I1" s="6">
        <v>400000</v>
      </c>
      <c r="J1" s="6" t="s">
        <v>7</v>
      </c>
    </row>
    <row r="2" spans="1:10" x14ac:dyDescent="0.3">
      <c r="A2">
        <v>1</v>
      </c>
      <c r="B2" s="6">
        <f>I1</f>
        <v>400000</v>
      </c>
      <c r="C2" s="6">
        <v>50000</v>
      </c>
      <c r="D2" s="6">
        <f>($I$1-$I$2)/$I$3</f>
        <v>1.85</v>
      </c>
      <c r="E2" s="6">
        <f>D2*C2</f>
        <v>92500</v>
      </c>
      <c r="F2" s="6">
        <f>E2</f>
        <v>92500</v>
      </c>
      <c r="G2" s="6">
        <f>B2-E2</f>
        <v>307500</v>
      </c>
      <c r="I2" s="6">
        <v>30000</v>
      </c>
      <c r="J2" s="6" t="s">
        <v>14</v>
      </c>
    </row>
    <row r="3" spans="1:10" x14ac:dyDescent="0.3">
      <c r="A3">
        <v>2</v>
      </c>
      <c r="B3" s="6">
        <f>G2</f>
        <v>307500</v>
      </c>
      <c r="C3" s="6">
        <v>40000</v>
      </c>
      <c r="D3" s="6">
        <f>($I$1-$I$2)/$I$3</f>
        <v>1.85</v>
      </c>
      <c r="E3" s="6">
        <f>D3*C3</f>
        <v>74000</v>
      </c>
      <c r="F3" s="6">
        <f>F2+E3</f>
        <v>166500</v>
      </c>
      <c r="G3" s="6">
        <f>B3-E3</f>
        <v>233500</v>
      </c>
      <c r="I3" s="6">
        <v>200000</v>
      </c>
      <c r="J3" s="6" t="s">
        <v>15</v>
      </c>
    </row>
    <row r="4" spans="1:10" x14ac:dyDescent="0.3">
      <c r="A4">
        <v>3</v>
      </c>
      <c r="B4" s="6">
        <f>G3</f>
        <v>233500</v>
      </c>
      <c r="C4" s="6">
        <v>35000</v>
      </c>
      <c r="D4" s="6">
        <f>($I$1-$I$2)/$I$3</f>
        <v>1.85</v>
      </c>
      <c r="E4" s="6">
        <f>D4*C4</f>
        <v>64750</v>
      </c>
      <c r="F4" s="6">
        <f>F3+E4</f>
        <v>231250</v>
      </c>
      <c r="G4" s="6">
        <f>B4-E4</f>
        <v>168750</v>
      </c>
    </row>
    <row r="5" spans="1:10" x14ac:dyDescent="0.3">
      <c r="A5">
        <v>4</v>
      </c>
      <c r="B5" s="6">
        <f>G4</f>
        <v>168750</v>
      </c>
      <c r="C5" s="6">
        <v>45000</v>
      </c>
      <c r="D5" s="6">
        <f>($I$1-$I$2)/$I$3</f>
        <v>1.85</v>
      </c>
      <c r="E5" s="6">
        <f>D5*C5</f>
        <v>83250</v>
      </c>
      <c r="F5" s="6">
        <f>F4+E5</f>
        <v>314500</v>
      </c>
      <c r="G5" s="6">
        <f>B5-E5</f>
        <v>85500</v>
      </c>
    </row>
    <row r="6" spans="1:10" x14ac:dyDescent="0.3">
      <c r="A6">
        <v>5</v>
      </c>
      <c r="B6" s="6">
        <f>G5</f>
        <v>85500</v>
      </c>
      <c r="C6" s="6">
        <v>30000</v>
      </c>
      <c r="D6" s="6">
        <f>($I$1-$I$2)/$I$3</f>
        <v>1.85</v>
      </c>
      <c r="E6" s="6">
        <f>D6*C6</f>
        <v>55500</v>
      </c>
      <c r="F6" s="6">
        <f>F5+E6</f>
        <v>370000</v>
      </c>
      <c r="G6" s="6">
        <f>B6-E6</f>
        <v>30000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Double Declining</vt:lpstr>
      <vt:lpstr>Straight Line</vt:lpstr>
      <vt:lpstr>Units Depreciation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Варга</dc:creator>
  <cp:lastModifiedBy>Михаил Варга</cp:lastModifiedBy>
  <dcterms:created xsi:type="dcterms:W3CDTF">2025-11-18T07:10:22Z</dcterms:created>
  <dcterms:modified xsi:type="dcterms:W3CDTF">2025-12-13T21:50:49Z</dcterms:modified>
</cp:coreProperties>
</file>